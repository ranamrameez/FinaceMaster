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Data" sheetId="1" state="visible" r:id="rId1"/>
    <sheet xmlns:r="http://schemas.openxmlformats.org/officeDocument/2006/relationships" name="Fee Sett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Shares</t>
        </is>
      </c>
      <c r="E1" s="1" t="inlineStr">
        <is>
          <t>Buy Price</t>
        </is>
      </c>
      <c r="F1" s="1" t="inlineStr">
        <is>
          <t>Buy Commission</t>
        </is>
      </c>
      <c r="G1" s="1" t="inlineStr">
        <is>
          <t>Current Price</t>
        </is>
      </c>
      <c r="H1" s="1" t="inlineStr">
        <is>
          <t>Gross Buy</t>
        </is>
      </c>
      <c r="I1" s="1" t="inlineStr">
        <is>
          <t>Buy Tax/Levies</t>
        </is>
      </c>
      <c r="J1" s="1" t="inlineStr">
        <is>
          <t>True Buy Cost</t>
        </is>
      </c>
      <c r="K1" s="1" t="inlineStr">
        <is>
          <t>Gross Current Worth</t>
        </is>
      </c>
      <c r="L1" s="1" t="inlineStr">
        <is>
          <t>Sell Commission</t>
        </is>
      </c>
      <c r="M1" s="1" t="inlineStr">
        <is>
          <t>Sell Tax/Levies</t>
        </is>
      </c>
      <c r="N1" s="1" t="inlineStr">
        <is>
          <t>Sell Regulatory/Other</t>
        </is>
      </c>
      <c r="O1" s="1" t="inlineStr">
        <is>
          <t>Net Sale Proceeds</t>
        </is>
      </c>
      <c r="P1" s="1" t="inlineStr">
        <is>
          <t>Pre-CGT P/L</t>
        </is>
      </c>
      <c r="Q1" s="1" t="inlineStr">
        <is>
          <t>CGT</t>
        </is>
      </c>
      <c r="R1" s="1" t="inlineStr">
        <is>
          <t>Final P/L</t>
        </is>
      </c>
      <c r="S1" s="1" t="inlineStr">
        <is>
          <t>True Break-even</t>
        </is>
      </c>
    </row>
    <row r="2">
      <c r="A2" s="2" t="inlineStr">
        <is>
          <t>18-Aug-2026</t>
        </is>
      </c>
      <c r="B2" s="2" t="inlineStr">
        <is>
          <t>SNGP</t>
        </is>
      </c>
      <c r="C2" s="2" t="inlineStr">
        <is>
          <t>SNGPL</t>
        </is>
      </c>
      <c r="D2" s="2" t="n">
        <v>1</v>
      </c>
      <c r="E2" s="2" t="n">
        <v>104.2</v>
      </c>
      <c r="F2" s="2" t="n">
        <v>0.21</v>
      </c>
      <c r="G2" s="2" t="n">
        <v>102.5</v>
      </c>
      <c r="H2" s="2">
        <f>D2*E2</f>
        <v/>
      </c>
      <c r="I2" s="2" t="n">
        <v>0</v>
      </c>
      <c r="J2" s="2">
        <f>H2+F2+I2</f>
        <v/>
      </c>
      <c r="K2" s="2">
        <f>D2*G2</f>
        <v/>
      </c>
      <c r="L2" s="2">
        <f>D2*G2*0.002</f>
        <v/>
      </c>
      <c r="M2" s="2" t="n">
        <v>0</v>
      </c>
      <c r="N2" s="2">
        <f>K2-L2-M2</f>
        <v/>
      </c>
      <c r="O2" s="2">
        <f>N2-J2</f>
        <v/>
      </c>
      <c r="P2" s="2">
        <f>MAX(O2,0)*0.15</f>
        <v/>
      </c>
      <c r="Q2" s="2">
        <f>O2-P2</f>
        <v/>
      </c>
      <c r="R2" s="2">
        <f>(J2+L2+M2)/D2</f>
        <v/>
      </c>
      <c r="S2" s="2" t="n"/>
    </row>
    <row r="3">
      <c r="A3" s="2" t="inlineStr">
        <is>
          <t>18-Aug-2026</t>
        </is>
      </c>
      <c r="B3" s="2" t="inlineStr">
        <is>
          <t>SNGP</t>
        </is>
      </c>
      <c r="C3" s="2" t="inlineStr">
        <is>
          <t>SNGPL</t>
        </is>
      </c>
      <c r="D3" s="2" t="n">
        <v>1</v>
      </c>
      <c r="E3" s="2" t="n">
        <v>105.6</v>
      </c>
      <c r="F3" s="2" t="n">
        <v>0.21</v>
      </c>
      <c r="G3" s="2" t="n">
        <v>102.5</v>
      </c>
      <c r="H3" s="2">
        <f>D3*E3</f>
        <v/>
      </c>
      <c r="I3" s="2" t="n">
        <v>0</v>
      </c>
      <c r="J3" s="2">
        <f>H3+F3+I3</f>
        <v/>
      </c>
      <c r="K3" s="2">
        <f>D3*G3</f>
        <v/>
      </c>
      <c r="L3" s="2">
        <f>D3*G3*0.002</f>
        <v/>
      </c>
      <c r="M3" s="2" t="n">
        <v>0</v>
      </c>
      <c r="N3" s="2">
        <f>K3-L3-M3</f>
        <v/>
      </c>
      <c r="O3" s="2">
        <f>N3-J3</f>
        <v/>
      </c>
      <c r="P3" s="2">
        <f>MAX(O3,0)*0.15</f>
        <v/>
      </c>
      <c r="Q3" s="2">
        <f>O3-P3</f>
        <v/>
      </c>
      <c r="R3" s="2">
        <f>(J3+L3+M3)/D3</f>
        <v/>
      </c>
      <c r="S3" s="2" t="n"/>
    </row>
    <row r="4">
      <c r="A4" s="2" t="inlineStr">
        <is>
          <t>19-Aug-2026</t>
        </is>
      </c>
      <c r="B4" s="2" t="inlineStr">
        <is>
          <t>SNGP</t>
        </is>
      </c>
      <c r="C4" s="2" t="inlineStr">
        <is>
          <t>SNGPL</t>
        </is>
      </c>
      <c r="D4" s="2" t="n">
        <v>1</v>
      </c>
      <c r="E4" s="2" t="n">
        <v>101.85</v>
      </c>
      <c r="F4" s="2" t="n">
        <v>0.2</v>
      </c>
      <c r="G4" s="2" t="n">
        <v>102.5</v>
      </c>
      <c r="H4" s="2">
        <f>D4*E4</f>
        <v/>
      </c>
      <c r="I4" s="2" t="n">
        <v>0</v>
      </c>
      <c r="J4" s="2">
        <f>H4+F4+I4</f>
        <v/>
      </c>
      <c r="K4" s="2">
        <f>D4*G4</f>
        <v/>
      </c>
      <c r="L4" s="2">
        <f>D4*G4*0.002</f>
        <v/>
      </c>
      <c r="M4" s="2" t="n">
        <v>0</v>
      </c>
      <c r="N4" s="2">
        <f>K4-L4-M4</f>
        <v/>
      </c>
      <c r="O4" s="2">
        <f>N4-J4</f>
        <v/>
      </c>
      <c r="P4" s="2">
        <f>MAX(O4,0)*0.15</f>
        <v/>
      </c>
      <c r="Q4" s="2">
        <f>O4-P4</f>
        <v/>
      </c>
      <c r="R4" s="2">
        <f>(J4+L4+M4)/D4</f>
        <v/>
      </c>
      <c r="S4" s="2" t="n"/>
    </row>
    <row r="5">
      <c r="A5" s="2" t="inlineStr">
        <is>
          <t>19-Aug-2026</t>
        </is>
      </c>
      <c r="B5" s="2" t="inlineStr">
        <is>
          <t>SNGP</t>
        </is>
      </c>
      <c r="C5" s="2" t="inlineStr">
        <is>
          <t>SNGPL</t>
        </is>
      </c>
      <c r="D5" s="2" t="n">
        <v>1</v>
      </c>
      <c r="E5" s="2" t="n">
        <v>101.9</v>
      </c>
      <c r="F5" s="2" t="n">
        <v>0.2</v>
      </c>
      <c r="G5" s="2" t="n">
        <v>102.5</v>
      </c>
      <c r="H5" s="2">
        <f>D5*E5</f>
        <v/>
      </c>
      <c r="I5" s="2" t="n">
        <v>0</v>
      </c>
      <c r="J5" s="2">
        <f>H5+F5+I5</f>
        <v/>
      </c>
      <c r="K5" s="2">
        <f>D5*G5</f>
        <v/>
      </c>
      <c r="L5" s="2">
        <f>D5*G5*0.002</f>
        <v/>
      </c>
      <c r="M5" s="2" t="n">
        <v>0</v>
      </c>
      <c r="N5" s="2">
        <f>K5-L5-M5</f>
        <v/>
      </c>
      <c r="O5" s="2">
        <f>N5-J5</f>
        <v/>
      </c>
      <c r="P5" s="2">
        <f>MAX(O5,0)*0.15</f>
        <v/>
      </c>
      <c r="Q5" s="2">
        <f>O5-P5</f>
        <v/>
      </c>
      <c r="R5" s="2">
        <f>(J5+L5+M5)/D5</f>
        <v/>
      </c>
      <c r="S5" s="2" t="n"/>
    </row>
    <row r="6">
      <c r="A6" s="2" t="inlineStr">
        <is>
          <t>19-Aug-2026</t>
        </is>
      </c>
      <c r="B6" s="2" t="inlineStr">
        <is>
          <t>SNGP</t>
        </is>
      </c>
      <c r="C6" s="2" t="inlineStr">
        <is>
          <t>SNGPL</t>
        </is>
      </c>
      <c r="D6" s="2" t="n">
        <v>1</v>
      </c>
      <c r="E6" s="2" t="n">
        <v>102</v>
      </c>
      <c r="F6" s="2" t="n">
        <v>0.2</v>
      </c>
      <c r="G6" s="2" t="n">
        <v>102.5</v>
      </c>
      <c r="H6" s="2">
        <f>D6*E6</f>
        <v/>
      </c>
      <c r="I6" s="2" t="n">
        <v>0</v>
      </c>
      <c r="J6" s="2">
        <f>H6+F6+I6</f>
        <v/>
      </c>
      <c r="K6" s="2">
        <f>D6*G6</f>
        <v/>
      </c>
      <c r="L6" s="2">
        <f>D6*G6*0.002</f>
        <v/>
      </c>
      <c r="M6" s="2" t="n">
        <v>0</v>
      </c>
      <c r="N6" s="2">
        <f>K6-L6-M6</f>
        <v/>
      </c>
      <c r="O6" s="2">
        <f>N6-J6</f>
        <v/>
      </c>
      <c r="P6" s="2">
        <f>MAX(O6,0)*0.15</f>
        <v/>
      </c>
      <c r="Q6" s="2">
        <f>O6-P6</f>
        <v/>
      </c>
      <c r="R6" s="2">
        <f>(J6+L6+M6)/D6</f>
        <v/>
      </c>
      <c r="S6" s="2" t="n"/>
    </row>
    <row r="7">
      <c r="A7" s="2" t="inlineStr">
        <is>
          <t>19-Aug-2026</t>
        </is>
      </c>
      <c r="B7" s="2" t="inlineStr">
        <is>
          <t>SNGP</t>
        </is>
      </c>
      <c r="C7" s="2" t="inlineStr">
        <is>
          <t>SNGPL</t>
        </is>
      </c>
      <c r="D7" s="2" t="n">
        <v>1</v>
      </c>
      <c r="E7" s="2" t="n">
        <v>102.2</v>
      </c>
      <c r="F7" s="2" t="n">
        <v>0.2</v>
      </c>
      <c r="G7" s="2" t="n">
        <v>102.5</v>
      </c>
      <c r="H7" s="2">
        <f>D7*E7</f>
        <v/>
      </c>
      <c r="I7" s="2" t="n">
        <v>0</v>
      </c>
      <c r="J7" s="2">
        <f>H7+F7+I7</f>
        <v/>
      </c>
      <c r="K7" s="2">
        <f>D7*G7</f>
        <v/>
      </c>
      <c r="L7" s="2">
        <f>D7*G7*0.002</f>
        <v/>
      </c>
      <c r="M7" s="2" t="n">
        <v>0</v>
      </c>
      <c r="N7" s="2">
        <f>K7-L7-M7</f>
        <v/>
      </c>
      <c r="O7" s="2">
        <f>N7-J7</f>
        <v/>
      </c>
      <c r="P7" s="2">
        <f>MAX(O7,0)*0.15</f>
        <v/>
      </c>
      <c r="Q7" s="2">
        <f>O7-P7</f>
        <v/>
      </c>
      <c r="R7" s="2">
        <f>(J7+L7+M7)/D7</f>
        <v/>
      </c>
      <c r="S7" s="2" t="n"/>
    </row>
    <row r="8">
      <c r="A8" s="2" t="inlineStr">
        <is>
          <t>19-Aug-2026</t>
        </is>
      </c>
      <c r="B8" s="2" t="inlineStr">
        <is>
          <t>SNGP</t>
        </is>
      </c>
      <c r="C8" s="2" t="inlineStr">
        <is>
          <t>SNGPL</t>
        </is>
      </c>
      <c r="D8" s="2" t="n">
        <v>1</v>
      </c>
      <c r="E8" s="2" t="n">
        <v>102.6</v>
      </c>
      <c r="F8" s="2" t="n">
        <v>0.21</v>
      </c>
      <c r="G8" s="2" t="n">
        <v>102.5</v>
      </c>
      <c r="H8" s="2">
        <f>D8*E8</f>
        <v/>
      </c>
      <c r="I8" s="2" t="n">
        <v>0</v>
      </c>
      <c r="J8" s="2">
        <f>H8+F8+I8</f>
        <v/>
      </c>
      <c r="K8" s="2">
        <f>D8*G8</f>
        <v/>
      </c>
      <c r="L8" s="2">
        <f>D8*G8*0.002</f>
        <v/>
      </c>
      <c r="M8" s="2" t="n">
        <v>0</v>
      </c>
      <c r="N8" s="2">
        <f>K8-L8-M8</f>
        <v/>
      </c>
      <c r="O8" s="2">
        <f>N8-J8</f>
        <v/>
      </c>
      <c r="P8" s="2">
        <f>MAX(O8,0)*0.15</f>
        <v/>
      </c>
      <c r="Q8" s="2">
        <f>O8-P8</f>
        <v/>
      </c>
      <c r="R8" s="2">
        <f>(J8+L8+M8)/D8</f>
        <v/>
      </c>
      <c r="S8" s="2" t="n"/>
    </row>
    <row r="9">
      <c r="A9" s="2" t="inlineStr">
        <is>
          <t>19-Aug-2026</t>
        </is>
      </c>
      <c r="B9" s="2" t="inlineStr">
        <is>
          <t>SNGP</t>
        </is>
      </c>
      <c r="C9" s="2" t="inlineStr">
        <is>
          <t>SNGPL</t>
        </is>
      </c>
      <c r="D9" s="2" t="n">
        <v>1</v>
      </c>
      <c r="E9" s="2" t="n">
        <v>102.75</v>
      </c>
      <c r="F9" s="2" t="n">
        <v>0.21</v>
      </c>
      <c r="G9" s="2" t="n">
        <v>102.5</v>
      </c>
      <c r="H9" s="2">
        <f>D9*E9</f>
        <v/>
      </c>
      <c r="I9" s="2" t="n">
        <v>0</v>
      </c>
      <c r="J9" s="2">
        <f>H9+F9+I9</f>
        <v/>
      </c>
      <c r="K9" s="2">
        <f>D9*G9</f>
        <v/>
      </c>
      <c r="L9" s="2">
        <f>D9*G9*0.002</f>
        <v/>
      </c>
      <c r="M9" s="2" t="n">
        <v>0</v>
      </c>
      <c r="N9" s="2">
        <f>K9-L9-M9</f>
        <v/>
      </c>
      <c r="O9" s="2">
        <f>N9-J9</f>
        <v/>
      </c>
      <c r="P9" s="2">
        <f>MAX(O9,0)*0.15</f>
        <v/>
      </c>
      <c r="Q9" s="2">
        <f>O9-P9</f>
        <v/>
      </c>
      <c r="R9" s="2">
        <f>(J9+L9+M9)/D9</f>
        <v/>
      </c>
      <c r="S9" s="2" t="n"/>
    </row>
    <row r="10">
      <c r="A10" s="2" t="inlineStr">
        <is>
          <t>19-Aug-2026</t>
        </is>
      </c>
      <c r="B10" s="2" t="inlineStr">
        <is>
          <t>SNGP</t>
        </is>
      </c>
      <c r="C10" s="2" t="inlineStr">
        <is>
          <t>SNGPL</t>
        </is>
      </c>
      <c r="D10" s="2" t="n">
        <v>1</v>
      </c>
      <c r="E10" s="2" t="n">
        <v>103</v>
      </c>
      <c r="F10" s="2" t="n">
        <v>0.21</v>
      </c>
      <c r="G10" s="2" t="n">
        <v>102.5</v>
      </c>
      <c r="H10" s="2">
        <f>D10*E10</f>
        <v/>
      </c>
      <c r="I10" s="2" t="n">
        <v>0</v>
      </c>
      <c r="J10" s="2">
        <f>H10+F10+I10</f>
        <v/>
      </c>
      <c r="K10" s="2">
        <f>D10*G10</f>
        <v/>
      </c>
      <c r="L10" s="2">
        <f>D10*G10*0.002</f>
        <v/>
      </c>
      <c r="M10" s="2" t="n">
        <v>0</v>
      </c>
      <c r="N10" s="2">
        <f>K10-L10-M10</f>
        <v/>
      </c>
      <c r="O10" s="2">
        <f>N10-J10</f>
        <v/>
      </c>
      <c r="P10" s="2">
        <f>MAX(O10,0)*0.15</f>
        <v/>
      </c>
      <c r="Q10" s="2">
        <f>O10-P10</f>
        <v/>
      </c>
      <c r="R10" s="2">
        <f>(J10+L10+M10)/D10</f>
        <v/>
      </c>
      <c r="S10" s="2" t="n"/>
    </row>
    <row r="11">
      <c r="A11" s="2" t="inlineStr">
        <is>
          <t>20-Aug-2026</t>
        </is>
      </c>
      <c r="B11" s="2" t="inlineStr">
        <is>
          <t>SNGP</t>
        </is>
      </c>
      <c r="C11" s="2" t="inlineStr">
        <is>
          <t>SNGPL</t>
        </is>
      </c>
      <c r="D11" s="2" t="n">
        <v>1</v>
      </c>
      <c r="E11" s="2" t="n">
        <v>101.6</v>
      </c>
      <c r="F11" s="2" t="n">
        <v>0.2</v>
      </c>
      <c r="G11" s="2" t="n">
        <v>102.5</v>
      </c>
      <c r="H11" s="2">
        <f>D11*E11</f>
        <v/>
      </c>
      <c r="I11" s="2" t="n">
        <v>0</v>
      </c>
      <c r="J11" s="2">
        <f>H11+F11+I11</f>
        <v/>
      </c>
      <c r="K11" s="2">
        <f>D11*G11</f>
        <v/>
      </c>
      <c r="L11" s="2">
        <f>D11*G11*0.002</f>
        <v/>
      </c>
      <c r="M11" s="2" t="n">
        <v>0</v>
      </c>
      <c r="N11" s="2">
        <f>K11-L11-M11</f>
        <v/>
      </c>
      <c r="O11" s="2">
        <f>N11-J11</f>
        <v/>
      </c>
      <c r="P11" s="2">
        <f>MAX(O11,0)*0.15</f>
        <v/>
      </c>
      <c r="Q11" s="2">
        <f>O11-P11</f>
        <v/>
      </c>
      <c r="R11" s="2">
        <f>(J11+L11+M11)/D11</f>
        <v/>
      </c>
      <c r="S11" s="2" t="n"/>
    </row>
    <row r="12">
      <c r="A12" s="2" t="inlineStr">
        <is>
          <t>20-Aug-2026</t>
        </is>
      </c>
      <c r="B12" s="2" t="inlineStr">
        <is>
          <t>SNGP</t>
        </is>
      </c>
      <c r="C12" s="2" t="inlineStr">
        <is>
          <t>SNGPL</t>
        </is>
      </c>
      <c r="D12" s="2" t="n">
        <v>1</v>
      </c>
      <c r="E12" s="2" t="n">
        <v>101.5</v>
      </c>
      <c r="F12" s="2" t="n">
        <v>0.2</v>
      </c>
      <c r="G12" s="2" t="n">
        <v>102.5</v>
      </c>
      <c r="H12" s="2">
        <f>D12*E12</f>
        <v/>
      </c>
      <c r="I12" s="2" t="n">
        <v>0</v>
      </c>
      <c r="J12" s="2">
        <f>H12+F12+I12</f>
        <v/>
      </c>
      <c r="K12" s="2">
        <f>D12*G12</f>
        <v/>
      </c>
      <c r="L12" s="2">
        <f>D12*G12*0.002</f>
        <v/>
      </c>
      <c r="M12" s="2" t="n">
        <v>0</v>
      </c>
      <c r="N12" s="2">
        <f>K12-L12-M12</f>
        <v/>
      </c>
      <c r="O12" s="2">
        <f>N12-J12</f>
        <v/>
      </c>
      <c r="P12" s="2">
        <f>MAX(O12,0)*0.15</f>
        <v/>
      </c>
      <c r="Q12" s="2">
        <f>O12-P12</f>
        <v/>
      </c>
      <c r="R12" s="2">
        <f>(J12+L12+M12)/D12</f>
        <v/>
      </c>
      <c r="S12" s="2" t="n"/>
    </row>
    <row r="13">
      <c r="A13" s="2" t="inlineStr">
        <is>
          <t>20-Aug-2026</t>
        </is>
      </c>
      <c r="B13" s="2" t="inlineStr">
        <is>
          <t>SNGP</t>
        </is>
      </c>
      <c r="C13" s="2" t="inlineStr">
        <is>
          <t>SNGPL</t>
        </is>
      </c>
      <c r="D13" s="2" t="n">
        <v>1</v>
      </c>
      <c r="E13" s="2" t="n">
        <v>101.61</v>
      </c>
      <c r="F13" s="2" t="n">
        <v>0.2</v>
      </c>
      <c r="G13" s="2" t="n">
        <v>102.5</v>
      </c>
      <c r="H13" s="2">
        <f>D13*E13</f>
        <v/>
      </c>
      <c r="I13" s="2" t="n">
        <v>0</v>
      </c>
      <c r="J13" s="2">
        <f>H13+F13+I13</f>
        <v/>
      </c>
      <c r="K13" s="2">
        <f>D13*G13</f>
        <v/>
      </c>
      <c r="L13" s="2">
        <f>D13*G13*0.002</f>
        <v/>
      </c>
      <c r="M13" s="2" t="n">
        <v>0</v>
      </c>
      <c r="N13" s="2">
        <f>K13-L13-M13</f>
        <v/>
      </c>
      <c r="O13" s="2">
        <f>N13-J13</f>
        <v/>
      </c>
      <c r="P13" s="2">
        <f>MAX(O13,0)*0.15</f>
        <v/>
      </c>
      <c r="Q13" s="2">
        <f>O13-P13</f>
        <v/>
      </c>
      <c r="R13" s="2">
        <f>(J13+L13+M13)/D13</f>
        <v/>
      </c>
      <c r="S13" s="2" t="n"/>
    </row>
    <row r="14">
      <c r="A14" s="2" t="inlineStr">
        <is>
          <t>20-Aug-2026</t>
        </is>
      </c>
      <c r="B14" s="2" t="inlineStr">
        <is>
          <t>SNGP</t>
        </is>
      </c>
      <c r="C14" s="2" t="inlineStr">
        <is>
          <t>SNGPL</t>
        </is>
      </c>
      <c r="D14" s="2" t="n">
        <v>2</v>
      </c>
      <c r="E14" s="2" t="n">
        <v>101.75</v>
      </c>
      <c r="F14" s="2" t="n">
        <v>0.41</v>
      </c>
      <c r="G14" s="2" t="n">
        <v>102.5</v>
      </c>
      <c r="H14" s="2">
        <f>D14*E14</f>
        <v/>
      </c>
      <c r="I14" s="2" t="n">
        <v>0</v>
      </c>
      <c r="J14" s="2">
        <f>H14+F14+I14</f>
        <v/>
      </c>
      <c r="K14" s="2">
        <f>D14*G14</f>
        <v/>
      </c>
      <c r="L14" s="2">
        <f>D14*G14*0.002</f>
        <v/>
      </c>
      <c r="M14" s="2" t="n">
        <v>0</v>
      </c>
      <c r="N14" s="2">
        <f>K14-L14-M14</f>
        <v/>
      </c>
      <c r="O14" s="2">
        <f>N14-J14</f>
        <v/>
      </c>
      <c r="P14" s="2">
        <f>MAX(O14,0)*0.15</f>
        <v/>
      </c>
      <c r="Q14" s="2">
        <f>O14-P14</f>
        <v/>
      </c>
      <c r="R14" s="2">
        <f>(J14+L14+M14)/D14</f>
        <v/>
      </c>
      <c r="S14" s="2" t="n"/>
    </row>
    <row r="15">
      <c r="A15" s="2" t="inlineStr">
        <is>
          <t>20-Aug-2026</t>
        </is>
      </c>
      <c r="B15" s="2" t="inlineStr">
        <is>
          <t>SNGP</t>
        </is>
      </c>
      <c r="C15" s="2" t="inlineStr">
        <is>
          <t>SNGPL</t>
        </is>
      </c>
      <c r="D15" s="2" t="n">
        <v>1</v>
      </c>
      <c r="E15" s="2" t="n">
        <v>101.9</v>
      </c>
      <c r="F15" s="2" t="n">
        <v>0.2</v>
      </c>
      <c r="G15" s="2" t="n">
        <v>102.5</v>
      </c>
      <c r="H15" s="2">
        <f>D15*E15</f>
        <v/>
      </c>
      <c r="I15" s="2" t="n">
        <v>0</v>
      </c>
      <c r="J15" s="2">
        <f>H15+F15+I15</f>
        <v/>
      </c>
      <c r="K15" s="2">
        <f>D15*G15</f>
        <v/>
      </c>
      <c r="L15" s="2">
        <f>D15*G15*0.002</f>
        <v/>
      </c>
      <c r="M15" s="2" t="n">
        <v>0</v>
      </c>
      <c r="N15" s="2">
        <f>K15-L15-M15</f>
        <v/>
      </c>
      <c r="O15" s="2">
        <f>N15-J15</f>
        <v/>
      </c>
      <c r="P15" s="2">
        <f>MAX(O15,0)*0.15</f>
        <v/>
      </c>
      <c r="Q15" s="2">
        <f>O15-P15</f>
        <v/>
      </c>
      <c r="R15" s="2">
        <f>(J15+L15+M15)/D15</f>
        <v/>
      </c>
      <c r="S15" s="2" t="n"/>
    </row>
    <row r="16">
      <c r="A16" s="2" t="inlineStr">
        <is>
          <t>20-Aug-2026</t>
        </is>
      </c>
      <c r="B16" s="2" t="inlineStr">
        <is>
          <t>SNGP</t>
        </is>
      </c>
      <c r="C16" s="2" t="inlineStr">
        <is>
          <t>SNGPL</t>
        </is>
      </c>
      <c r="D16" s="2" t="n">
        <v>1</v>
      </c>
      <c r="E16" s="2" t="n">
        <v>101.9</v>
      </c>
      <c r="F16" s="2" t="n">
        <v>0.2</v>
      </c>
      <c r="G16" s="2" t="n">
        <v>102.5</v>
      </c>
      <c r="H16" s="2">
        <f>D16*E16</f>
        <v/>
      </c>
      <c r="I16" s="2" t="n">
        <v>0</v>
      </c>
      <c r="J16" s="2">
        <f>H16+F16+I16</f>
        <v/>
      </c>
      <c r="K16" s="2">
        <f>D16*G16</f>
        <v/>
      </c>
      <c r="L16" s="2">
        <f>D16*G16*0.002</f>
        <v/>
      </c>
      <c r="M16" s="2" t="n">
        <v>0</v>
      </c>
      <c r="N16" s="2">
        <f>K16-L16-M16</f>
        <v/>
      </c>
      <c r="O16" s="2">
        <f>N16-J16</f>
        <v/>
      </c>
      <c r="P16" s="2">
        <f>MAX(O16,0)*0.15</f>
        <v/>
      </c>
      <c r="Q16" s="2">
        <f>O16-P16</f>
        <v/>
      </c>
      <c r="R16" s="2">
        <f>(J16+L16+M16)/D16</f>
        <v/>
      </c>
      <c r="S16" s="2" t="n"/>
    </row>
    <row r="17">
      <c r="A17" s="2" t="inlineStr">
        <is>
          <t>20-Aug-2026</t>
        </is>
      </c>
      <c r="B17" s="2" t="inlineStr">
        <is>
          <t>SNGP</t>
        </is>
      </c>
      <c r="C17" s="2" t="inlineStr">
        <is>
          <t>SNGPL</t>
        </is>
      </c>
      <c r="D17" s="2" t="n">
        <v>1</v>
      </c>
      <c r="E17" s="2" t="n">
        <v>102.1</v>
      </c>
      <c r="F17" s="2" t="n">
        <v>0.2</v>
      </c>
      <c r="G17" s="2" t="n">
        <v>102.5</v>
      </c>
      <c r="H17" s="2">
        <f>D17*E17</f>
        <v/>
      </c>
      <c r="I17" s="2" t="n">
        <v>0</v>
      </c>
      <c r="J17" s="2">
        <f>H17+F17+I17</f>
        <v/>
      </c>
      <c r="K17" s="2">
        <f>D17*G17</f>
        <v/>
      </c>
      <c r="L17" s="2">
        <f>D17*G17*0.002</f>
        <v/>
      </c>
      <c r="M17" s="2" t="n">
        <v>0</v>
      </c>
      <c r="N17" s="2">
        <f>K17-L17-M17</f>
        <v/>
      </c>
      <c r="O17" s="2">
        <f>N17-J17</f>
        <v/>
      </c>
      <c r="P17" s="2">
        <f>MAX(O17,0)*0.15</f>
        <v/>
      </c>
      <c r="Q17" s="2">
        <f>O17-P17</f>
        <v/>
      </c>
      <c r="R17" s="2">
        <f>(J17+L17+M17)/D17</f>
        <v/>
      </c>
      <c r="S17" s="2" t="n"/>
    </row>
    <row r="18">
      <c r="A18" s="2" t="inlineStr">
        <is>
          <t>20-Aug-2026</t>
        </is>
      </c>
      <c r="B18" s="2" t="inlineStr">
        <is>
          <t>SNGP</t>
        </is>
      </c>
      <c r="C18" s="2" t="inlineStr">
        <is>
          <t>SNGPL</t>
        </is>
      </c>
      <c r="D18" s="2" t="n">
        <v>1</v>
      </c>
      <c r="E18" s="2" t="n">
        <v>102.2</v>
      </c>
      <c r="F18" s="2" t="n">
        <v>0.2</v>
      </c>
      <c r="G18" s="2" t="n">
        <v>102.5</v>
      </c>
      <c r="H18" s="2">
        <f>D18*E18</f>
        <v/>
      </c>
      <c r="I18" s="2" t="n">
        <v>0</v>
      </c>
      <c r="J18" s="2">
        <f>H18+F18+I18</f>
        <v/>
      </c>
      <c r="K18" s="2">
        <f>D18*G18</f>
        <v/>
      </c>
      <c r="L18" s="2">
        <f>D18*G18*0.002</f>
        <v/>
      </c>
      <c r="M18" s="2" t="n">
        <v>0</v>
      </c>
      <c r="N18" s="2">
        <f>K18-L18-M18</f>
        <v/>
      </c>
      <c r="O18" s="2">
        <f>N18-J18</f>
        <v/>
      </c>
      <c r="P18" s="2">
        <f>MAX(O18,0)*0.15</f>
        <v/>
      </c>
      <c r="Q18" s="2">
        <f>O18-P18</f>
        <v/>
      </c>
      <c r="R18" s="2">
        <f>(J18+L18+M18)/D18</f>
        <v/>
      </c>
      <c r="S18" s="2" t="n"/>
    </row>
    <row r="19">
      <c r="A19" s="2" t="inlineStr">
        <is>
          <t>20-Aug-2026</t>
        </is>
      </c>
      <c r="B19" s="2" t="inlineStr">
        <is>
          <t>SNGP</t>
        </is>
      </c>
      <c r="C19" s="2" t="inlineStr">
        <is>
          <t>SNGPL</t>
        </is>
      </c>
      <c r="D19" s="2" t="n">
        <v>1</v>
      </c>
      <c r="E19" s="2" t="n">
        <v>102.3</v>
      </c>
      <c r="F19" s="2" t="n">
        <v>0.2</v>
      </c>
      <c r="G19" s="2" t="n">
        <v>102.5</v>
      </c>
      <c r="H19" s="2">
        <f>D19*E19</f>
        <v/>
      </c>
      <c r="I19" s="2" t="n">
        <v>0</v>
      </c>
      <c r="J19" s="2">
        <f>H19+F19+I19</f>
        <v/>
      </c>
      <c r="K19" s="2">
        <f>D19*G19</f>
        <v/>
      </c>
      <c r="L19" s="2">
        <f>D19*G19*0.002</f>
        <v/>
      </c>
      <c r="M19" s="2" t="n">
        <v>0</v>
      </c>
      <c r="N19" s="2">
        <f>K19-L19-M19</f>
        <v/>
      </c>
      <c r="O19" s="2">
        <f>N19-J19</f>
        <v/>
      </c>
      <c r="P19" s="2">
        <f>MAX(O19,0)*0.15</f>
        <v/>
      </c>
      <c r="Q19" s="2">
        <f>O19-P19</f>
        <v/>
      </c>
      <c r="R19" s="2">
        <f>(J19+L19+M19)/D19</f>
        <v/>
      </c>
      <c r="S19" s="2" t="n"/>
    </row>
    <row r="20">
      <c r="A20" s="2" t="inlineStr">
        <is>
          <t>20-Aug-2026</t>
        </is>
      </c>
      <c r="B20" s="2" t="inlineStr">
        <is>
          <t>SNGP</t>
        </is>
      </c>
      <c r="C20" s="2" t="inlineStr">
        <is>
          <t>SNGPL</t>
        </is>
      </c>
      <c r="D20" s="2" t="n">
        <v>1</v>
      </c>
      <c r="E20" s="2" t="n">
        <v>102.31</v>
      </c>
      <c r="F20" s="2" t="n">
        <v>0.2</v>
      </c>
      <c r="G20" s="2" t="n">
        <v>102.5</v>
      </c>
      <c r="H20" s="2">
        <f>D20*E20</f>
        <v/>
      </c>
      <c r="I20" s="2" t="n">
        <v>0</v>
      </c>
      <c r="J20" s="2">
        <f>H20+F20+I20</f>
        <v/>
      </c>
      <c r="K20" s="2">
        <f>D20*G20</f>
        <v/>
      </c>
      <c r="L20" s="2">
        <f>D20*G20*0.002</f>
        <v/>
      </c>
      <c r="M20" s="2" t="n">
        <v>0</v>
      </c>
      <c r="N20" s="2">
        <f>K20-L20-M20</f>
        <v/>
      </c>
      <c r="O20" s="2">
        <f>N20-J20</f>
        <v/>
      </c>
      <c r="P20" s="2">
        <f>MAX(O20,0)*0.15</f>
        <v/>
      </c>
      <c r="Q20" s="2">
        <f>O20-P20</f>
        <v/>
      </c>
      <c r="R20" s="2">
        <f>(J20+L20+M20)/D20</f>
        <v/>
      </c>
      <c r="S20" s="2" t="n"/>
    </row>
    <row r="21">
      <c r="A21" s="2" t="inlineStr">
        <is>
          <t>20-Aug-2026</t>
        </is>
      </c>
      <c r="B21" s="2" t="inlineStr">
        <is>
          <t>SNGP</t>
        </is>
      </c>
      <c r="C21" s="2" t="inlineStr">
        <is>
          <t>SNGPL</t>
        </is>
      </c>
      <c r="D21" s="2" t="n">
        <v>1</v>
      </c>
      <c r="E21" s="2" t="n">
        <v>102.4</v>
      </c>
      <c r="F21" s="2" t="n">
        <v>0.2</v>
      </c>
      <c r="G21" s="2" t="n">
        <v>102.5</v>
      </c>
      <c r="H21" s="2">
        <f>D21*E21</f>
        <v/>
      </c>
      <c r="I21" s="2" t="n">
        <v>0</v>
      </c>
      <c r="J21" s="2">
        <f>H21+F21+I21</f>
        <v/>
      </c>
      <c r="K21" s="2">
        <f>D21*G21</f>
        <v/>
      </c>
      <c r="L21" s="2">
        <f>D21*G21*0.002</f>
        <v/>
      </c>
      <c r="M21" s="2" t="n">
        <v>0</v>
      </c>
      <c r="N21" s="2">
        <f>K21-L21-M21</f>
        <v/>
      </c>
      <c r="O21" s="2">
        <f>N21-J21</f>
        <v/>
      </c>
      <c r="P21" s="2">
        <f>MAX(O21,0)*0.15</f>
        <v/>
      </c>
      <c r="Q21" s="2">
        <f>O21-P21</f>
        <v/>
      </c>
      <c r="R21" s="2">
        <f>(J21+L21+M21)/D21</f>
        <v/>
      </c>
      <c r="S21" s="2" t="n"/>
    </row>
    <row r="22">
      <c r="A22" s="2" t="inlineStr">
        <is>
          <t>20-Aug-2026</t>
        </is>
      </c>
      <c r="B22" s="2" t="inlineStr">
        <is>
          <t>SNGP</t>
        </is>
      </c>
      <c r="C22" s="2" t="inlineStr">
        <is>
          <t>SNGPL</t>
        </is>
      </c>
      <c r="D22" s="2" t="n">
        <v>1</v>
      </c>
      <c r="E22" s="2" t="n">
        <v>102.4</v>
      </c>
      <c r="F22" s="2" t="n">
        <v>0.2</v>
      </c>
      <c r="G22" s="2" t="n">
        <v>102.5</v>
      </c>
      <c r="H22" s="2">
        <f>D22*E22</f>
        <v/>
      </c>
      <c r="I22" s="2" t="n">
        <v>0</v>
      </c>
      <c r="J22" s="2">
        <f>H22+F22+I22</f>
        <v/>
      </c>
      <c r="K22" s="2">
        <f>D22*G22</f>
        <v/>
      </c>
      <c r="L22" s="2">
        <f>D22*G22*0.002</f>
        <v/>
      </c>
      <c r="M22" s="2" t="n">
        <v>0</v>
      </c>
      <c r="N22" s="2">
        <f>K22-L22-M22</f>
        <v/>
      </c>
      <c r="O22" s="2">
        <f>N22-J22</f>
        <v/>
      </c>
      <c r="P22" s="2">
        <f>MAX(O22,0)*0.15</f>
        <v/>
      </c>
      <c r="Q22" s="2">
        <f>O22-P22</f>
        <v/>
      </c>
      <c r="R22" s="2">
        <f>(J22+L22+M22)/D22</f>
        <v/>
      </c>
      <c r="S22" s="2" t="n"/>
    </row>
    <row r="23">
      <c r="A23" s="2" t="inlineStr">
        <is>
          <t>20-Aug-2026</t>
        </is>
      </c>
      <c r="B23" s="2" t="inlineStr">
        <is>
          <t>SNGP</t>
        </is>
      </c>
      <c r="C23" s="2" t="inlineStr">
        <is>
          <t>SNGPL</t>
        </is>
      </c>
      <c r="D23" s="2" t="n">
        <v>1</v>
      </c>
      <c r="E23" s="2" t="n">
        <v>102.41</v>
      </c>
      <c r="F23" s="2" t="n">
        <v>0.2</v>
      </c>
      <c r="G23" s="2" t="n">
        <v>102.5</v>
      </c>
      <c r="H23" s="2">
        <f>D23*E23</f>
        <v/>
      </c>
      <c r="I23" s="2" t="n">
        <v>0</v>
      </c>
      <c r="J23" s="2">
        <f>H23+F23+I23</f>
        <v/>
      </c>
      <c r="K23" s="2">
        <f>D23*G23</f>
        <v/>
      </c>
      <c r="L23" s="2">
        <f>D23*G23*0.002</f>
        <v/>
      </c>
      <c r="M23" s="2" t="n">
        <v>0</v>
      </c>
      <c r="N23" s="2">
        <f>K23-L23-M23</f>
        <v/>
      </c>
      <c r="O23" s="2">
        <f>N23-J23</f>
        <v/>
      </c>
      <c r="P23" s="2">
        <f>MAX(O23,0)*0.15</f>
        <v/>
      </c>
      <c r="Q23" s="2">
        <f>O23-P23</f>
        <v/>
      </c>
      <c r="R23" s="2">
        <f>(J23+L23+M23)/D23</f>
        <v/>
      </c>
      <c r="S23" s="2" t="n"/>
    </row>
    <row r="24">
      <c r="A24" s="2" t="inlineStr">
        <is>
          <t>20-Aug-2026</t>
        </is>
      </c>
      <c r="B24" s="2" t="inlineStr">
        <is>
          <t>SNGP</t>
        </is>
      </c>
      <c r="C24" s="2" t="inlineStr">
        <is>
          <t>SNGPL</t>
        </is>
      </c>
      <c r="D24" s="2" t="n">
        <v>1</v>
      </c>
      <c r="E24" s="2" t="n">
        <v>102.41</v>
      </c>
      <c r="F24" s="2" t="n">
        <v>0.2</v>
      </c>
      <c r="G24" s="2" t="n">
        <v>102.5</v>
      </c>
      <c r="H24" s="2">
        <f>D24*E24</f>
        <v/>
      </c>
      <c r="I24" s="2" t="n">
        <v>0</v>
      </c>
      <c r="J24" s="2">
        <f>H24+F24+I24</f>
        <v/>
      </c>
      <c r="K24" s="2">
        <f>D24*G24</f>
        <v/>
      </c>
      <c r="L24" s="2">
        <f>D24*G24*0.002</f>
        <v/>
      </c>
      <c r="M24" s="2" t="n">
        <v>0</v>
      </c>
      <c r="N24" s="2">
        <f>K24-L24-M24</f>
        <v/>
      </c>
      <c r="O24" s="2">
        <f>N24-J24</f>
        <v/>
      </c>
      <c r="P24" s="2">
        <f>MAX(O24,0)*0.15</f>
        <v/>
      </c>
      <c r="Q24" s="2">
        <f>O24-P24</f>
        <v/>
      </c>
      <c r="R24" s="2">
        <f>(J24+L24+M24)/D24</f>
        <v/>
      </c>
      <c r="S24" s="2" t="n"/>
    </row>
    <row r="25">
      <c r="A25" s="2" t="inlineStr">
        <is>
          <t>20-Aug-2026</t>
        </is>
      </c>
      <c r="B25" s="2" t="inlineStr">
        <is>
          <t>SNGP</t>
        </is>
      </c>
      <c r="C25" s="2" t="inlineStr">
        <is>
          <t>SNGPL</t>
        </is>
      </c>
      <c r="D25" s="2" t="n">
        <v>1</v>
      </c>
      <c r="E25" s="2" t="n">
        <v>102.5</v>
      </c>
      <c r="F25" s="2" t="n">
        <v>0.21</v>
      </c>
      <c r="G25" s="2" t="n">
        <v>102.5</v>
      </c>
      <c r="H25" s="2">
        <f>D25*E25</f>
        <v/>
      </c>
      <c r="I25" s="2" t="n">
        <v>0</v>
      </c>
      <c r="J25" s="2">
        <f>H25+F25+I25</f>
        <v/>
      </c>
      <c r="K25" s="2">
        <f>D25*G25</f>
        <v/>
      </c>
      <c r="L25" s="2">
        <f>D25*G25*0.002</f>
        <v/>
      </c>
      <c r="M25" s="2" t="n">
        <v>0</v>
      </c>
      <c r="N25" s="2">
        <f>K25-L25-M25</f>
        <v/>
      </c>
      <c r="O25" s="2">
        <f>N25-J25</f>
        <v/>
      </c>
      <c r="P25" s="2">
        <f>MAX(O25,0)*0.15</f>
        <v/>
      </c>
      <c r="Q25" s="2">
        <f>O25-P25</f>
        <v/>
      </c>
      <c r="R25" s="2">
        <f>(J25+L25+M25)/D25</f>
        <v/>
      </c>
      <c r="S25" s="2" t="n"/>
    </row>
    <row r="26">
      <c r="A26" s="2" t="inlineStr">
        <is>
          <t>20-Aug-2026</t>
        </is>
      </c>
      <c r="B26" s="2" t="inlineStr">
        <is>
          <t>SNGP</t>
        </is>
      </c>
      <c r="C26" s="2" t="inlineStr">
        <is>
          <t>SNGPL</t>
        </is>
      </c>
      <c r="D26" s="2" t="n">
        <v>1</v>
      </c>
      <c r="E26" s="2" t="n">
        <v>102.5</v>
      </c>
      <c r="F26" s="2" t="n">
        <v>0.21</v>
      </c>
      <c r="G26" s="2" t="n">
        <v>102.5</v>
      </c>
      <c r="H26" s="2">
        <f>D26*E26</f>
        <v/>
      </c>
      <c r="I26" s="2" t="n">
        <v>0</v>
      </c>
      <c r="J26" s="2">
        <f>H26+F26+I26</f>
        <v/>
      </c>
      <c r="K26" s="2">
        <f>D26*G26</f>
        <v/>
      </c>
      <c r="L26" s="2">
        <f>D26*G26*0.002</f>
        <v/>
      </c>
      <c r="M26" s="2" t="n">
        <v>0</v>
      </c>
      <c r="N26" s="2">
        <f>K26-L26-M26</f>
        <v/>
      </c>
      <c r="O26" s="2">
        <f>N26-J26</f>
        <v/>
      </c>
      <c r="P26" s="2">
        <f>MAX(O26,0)*0.15</f>
        <v/>
      </c>
      <c r="Q26" s="2">
        <f>O26-P26</f>
        <v/>
      </c>
      <c r="R26" s="2">
        <f>(J26+L26+M26)/D26</f>
        <v/>
      </c>
      <c r="S26" s="2" t="n"/>
    </row>
    <row r="27">
      <c r="A27" s="2" t="inlineStr">
        <is>
          <t>20-Aug-2026</t>
        </is>
      </c>
      <c r="B27" s="2" t="inlineStr">
        <is>
          <t>SNGP</t>
        </is>
      </c>
      <c r="C27" s="2" t="inlineStr">
        <is>
          <t>SNGPL</t>
        </is>
      </c>
      <c r="D27" s="2" t="n">
        <v>2</v>
      </c>
      <c r="E27" s="2" t="n">
        <v>102.51</v>
      </c>
      <c r="F27" s="2" t="n">
        <v>0.41</v>
      </c>
      <c r="G27" s="2" t="n">
        <v>102.5</v>
      </c>
      <c r="H27" s="2">
        <f>D27*E27</f>
        <v/>
      </c>
      <c r="I27" s="2" t="n">
        <v>0</v>
      </c>
      <c r="J27" s="2">
        <f>H27+F27+I27</f>
        <v/>
      </c>
      <c r="K27" s="2">
        <f>D27*G27</f>
        <v/>
      </c>
      <c r="L27" s="2">
        <f>D27*G27*0.002</f>
        <v/>
      </c>
      <c r="M27" s="2" t="n">
        <v>0</v>
      </c>
      <c r="N27" s="2">
        <f>K27-L27-M27</f>
        <v/>
      </c>
      <c r="O27" s="2">
        <f>N27-J27</f>
        <v/>
      </c>
      <c r="P27" s="2">
        <f>MAX(O27,0)*0.15</f>
        <v/>
      </c>
      <c r="Q27" s="2">
        <f>O27-P27</f>
        <v/>
      </c>
      <c r="R27" s="2">
        <f>(J27+L27+M27)/D27</f>
        <v/>
      </c>
      <c r="S27" s="2" t="n"/>
    </row>
    <row r="28">
      <c r="A28" s="2" t="inlineStr">
        <is>
          <t>20-Aug-2026</t>
        </is>
      </c>
      <c r="B28" s="2" t="inlineStr">
        <is>
          <t>SNGP</t>
        </is>
      </c>
      <c r="C28" s="2" t="inlineStr">
        <is>
          <t>SNGPL</t>
        </is>
      </c>
      <c r="D28" s="2" t="n">
        <v>1</v>
      </c>
      <c r="E28" s="2" t="n">
        <v>102.61</v>
      </c>
      <c r="F28" s="2" t="n">
        <v>0.21</v>
      </c>
      <c r="G28" s="2" t="n">
        <v>102.5</v>
      </c>
      <c r="H28" s="2">
        <f>D28*E28</f>
        <v/>
      </c>
      <c r="I28" s="2" t="n">
        <v>0</v>
      </c>
      <c r="J28" s="2">
        <f>H28+F28+I28</f>
        <v/>
      </c>
      <c r="K28" s="2">
        <f>D28*G28</f>
        <v/>
      </c>
      <c r="L28" s="2">
        <f>D28*G28*0.002</f>
        <v/>
      </c>
      <c r="M28" s="2" t="n">
        <v>0</v>
      </c>
      <c r="N28" s="2">
        <f>K28-L28-M28</f>
        <v/>
      </c>
      <c r="O28" s="2">
        <f>N28-J28</f>
        <v/>
      </c>
      <c r="P28" s="2">
        <f>MAX(O28,0)*0.15</f>
        <v/>
      </c>
      <c r="Q28" s="2">
        <f>O28-P28</f>
        <v/>
      </c>
      <c r="R28" s="2">
        <f>(J28+L28+M28)/D28</f>
        <v/>
      </c>
      <c r="S28" s="2" t="n"/>
    </row>
    <row r="29">
      <c r="A29" s="2" t="inlineStr">
        <is>
          <t>20-Aug-2026</t>
        </is>
      </c>
      <c r="B29" s="2" t="inlineStr">
        <is>
          <t>SNGP</t>
        </is>
      </c>
      <c r="C29" s="2" t="inlineStr">
        <is>
          <t>SNGPL</t>
        </is>
      </c>
      <c r="D29" s="2" t="n">
        <v>1</v>
      </c>
      <c r="E29" s="2" t="n">
        <v>102.7</v>
      </c>
      <c r="F29" s="2" t="n">
        <v>0.21</v>
      </c>
      <c r="G29" s="2" t="n">
        <v>102.5</v>
      </c>
      <c r="H29" s="2">
        <f>D29*E29</f>
        <v/>
      </c>
      <c r="I29" s="2" t="n">
        <v>0</v>
      </c>
      <c r="J29" s="2">
        <f>H29+F29+I29</f>
        <v/>
      </c>
      <c r="K29" s="2">
        <f>D29*G29</f>
        <v/>
      </c>
      <c r="L29" s="2">
        <f>D29*G29*0.002</f>
        <v/>
      </c>
      <c r="M29" s="2" t="n">
        <v>0</v>
      </c>
      <c r="N29" s="2">
        <f>K29-L29-M29</f>
        <v/>
      </c>
      <c r="O29" s="2">
        <f>N29-J29</f>
        <v/>
      </c>
      <c r="P29" s="2">
        <f>MAX(O29,0)*0.15</f>
        <v/>
      </c>
      <c r="Q29" s="2">
        <f>O29-P29</f>
        <v/>
      </c>
      <c r="R29" s="2">
        <f>(J29+L29+M29)/D29</f>
        <v/>
      </c>
      <c r="S29" s="2" t="n"/>
    </row>
    <row r="30">
      <c r="A30" s="2" t="inlineStr">
        <is>
          <t>20-Aug-2026</t>
        </is>
      </c>
      <c r="B30" s="2" t="inlineStr">
        <is>
          <t>SNGP</t>
        </is>
      </c>
      <c r="C30" s="2" t="inlineStr">
        <is>
          <t>SNGPL</t>
        </is>
      </c>
      <c r="D30" s="2" t="n">
        <v>1</v>
      </c>
      <c r="E30" s="2" t="n">
        <v>102.75</v>
      </c>
      <c r="F30" s="2" t="n">
        <v>0.21</v>
      </c>
      <c r="G30" s="2" t="n">
        <v>102.5</v>
      </c>
      <c r="H30" s="2">
        <f>D30*E30</f>
        <v/>
      </c>
      <c r="I30" s="2" t="n">
        <v>0</v>
      </c>
      <c r="J30" s="2">
        <f>H30+F30+I30</f>
        <v/>
      </c>
      <c r="K30" s="2">
        <f>D30*G30</f>
        <v/>
      </c>
      <c r="L30" s="2">
        <f>D30*G30*0.002</f>
        <v/>
      </c>
      <c r="M30" s="2" t="n">
        <v>0</v>
      </c>
      <c r="N30" s="2">
        <f>K30-L30-M30</f>
        <v/>
      </c>
      <c r="O30" s="2">
        <f>N30-J30</f>
        <v/>
      </c>
      <c r="P30" s="2">
        <f>MAX(O30,0)*0.15</f>
        <v/>
      </c>
      <c r="Q30" s="2">
        <f>O30-P30</f>
        <v/>
      </c>
      <c r="R30" s="2">
        <f>(J30+L30+M30)/D30</f>
        <v/>
      </c>
      <c r="S30" s="2" t="n"/>
    </row>
    <row r="31">
      <c r="A31" s="2" t="inlineStr">
        <is>
          <t>20-Aug-2026</t>
        </is>
      </c>
      <c r="B31" s="2" t="inlineStr">
        <is>
          <t>SNGP</t>
        </is>
      </c>
      <c r="C31" s="2" t="inlineStr">
        <is>
          <t>SNGPL</t>
        </is>
      </c>
      <c r="D31" s="2" t="n">
        <v>1</v>
      </c>
      <c r="E31" s="2" t="n">
        <v>102.81</v>
      </c>
      <c r="F31" s="2" t="n">
        <v>0.21</v>
      </c>
      <c r="G31" s="2" t="n">
        <v>102.5</v>
      </c>
      <c r="H31" s="2">
        <f>D31*E31</f>
        <v/>
      </c>
      <c r="I31" s="2" t="n">
        <v>0</v>
      </c>
      <c r="J31" s="2">
        <f>H31+F31+I31</f>
        <v/>
      </c>
      <c r="K31" s="2">
        <f>D31*G31</f>
        <v/>
      </c>
      <c r="L31" s="2">
        <f>D31*G31*0.002</f>
        <v/>
      </c>
      <c r="M31" s="2" t="n">
        <v>0</v>
      </c>
      <c r="N31" s="2">
        <f>K31-L31-M31</f>
        <v/>
      </c>
      <c r="O31" s="2">
        <f>N31-J31</f>
        <v/>
      </c>
      <c r="P31" s="2">
        <f>MAX(O31,0)*0.15</f>
        <v/>
      </c>
      <c r="Q31" s="2">
        <f>O31-P31</f>
        <v/>
      </c>
      <c r="R31" s="2">
        <f>(J31+L31+M31)/D31</f>
        <v/>
      </c>
      <c r="S31" s="2" t="n"/>
    </row>
    <row r="32">
      <c r="A32" s="2" t="inlineStr">
        <is>
          <t>20-Aug-2026</t>
        </is>
      </c>
      <c r="B32" s="2" t="inlineStr">
        <is>
          <t>SNGP</t>
        </is>
      </c>
      <c r="C32" s="2" t="inlineStr">
        <is>
          <t>SNGPL</t>
        </is>
      </c>
      <c r="D32" s="2" t="n">
        <v>1</v>
      </c>
      <c r="E32" s="2" t="n">
        <v>103</v>
      </c>
      <c r="F32" s="2" t="n">
        <v>0.21</v>
      </c>
      <c r="G32" s="2" t="n">
        <v>102.5</v>
      </c>
      <c r="H32" s="2">
        <f>D32*E32</f>
        <v/>
      </c>
      <c r="I32" s="2" t="n">
        <v>0</v>
      </c>
      <c r="J32" s="2">
        <f>H32+F32+I32</f>
        <v/>
      </c>
      <c r="K32" s="2">
        <f>D32*G32</f>
        <v/>
      </c>
      <c r="L32" s="2">
        <f>D32*G32*0.002</f>
        <v/>
      </c>
      <c r="M32" s="2" t="n">
        <v>0</v>
      </c>
      <c r="N32" s="2">
        <f>K32-L32-M32</f>
        <v/>
      </c>
      <c r="O32" s="2">
        <f>N32-J32</f>
        <v/>
      </c>
      <c r="P32" s="2">
        <f>MAX(O32,0)*0.15</f>
        <v/>
      </c>
      <c r="Q32" s="2">
        <f>O32-P32</f>
        <v/>
      </c>
      <c r="R32" s="2">
        <f>(J32+L32+M32)/D32</f>
        <v/>
      </c>
      <c r="S3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Zindigi commission rate &gt; PKR25</t>
        </is>
      </c>
      <c r="B2" s="2" t="n">
        <v>0.002</v>
      </c>
      <c r="C2" s="2" t="inlineStr">
        <is>
          <t>Zindigi states 0.20% of traded value for shares above PKR25.</t>
        </is>
      </c>
    </row>
    <row r="3">
      <c r="A3" s="2" t="inlineStr">
        <is>
          <t>Zindigi commission &lt;= PKR25</t>
        </is>
      </c>
      <c r="B3" s="2" t="n">
        <v>0.05</v>
      </c>
      <c r="C3" s="2" t="inlineStr">
        <is>
          <t>PKR 0.05/share.</t>
        </is>
      </c>
    </row>
    <row r="4">
      <c r="A4" s="2" t="inlineStr">
        <is>
          <t>CGT rate (2026, shares acquired &gt;= 1-Jul-2025)</t>
        </is>
      </c>
      <c r="B4" s="2" t="n">
        <v>0.15</v>
      </c>
      <c r="C4" s="2" t="inlineStr">
        <is>
          <t>Use as an editable assumption; verify final NCCPL tax computation.</t>
        </is>
      </c>
    </row>
    <row r="5">
      <c r="A5" s="2" t="inlineStr">
        <is>
          <t>Buy tax/levies per trade</t>
        </is>
      </c>
      <c r="B5" s="2" t="n">
        <v>0</v>
      </c>
      <c r="C5" s="2" t="inlineStr">
        <is>
          <t>Enter actual contract-note amount.</t>
        </is>
      </c>
    </row>
    <row r="6">
      <c r="A6" s="2" t="inlineStr">
        <is>
          <t>Sell tax/levies per trade</t>
        </is>
      </c>
      <c r="B6" s="2" t="n">
        <v>0</v>
      </c>
      <c r="C6" s="2" t="inlineStr">
        <is>
          <t>Enter actual contract-note amount.</t>
        </is>
      </c>
    </row>
    <row r="7">
      <c r="A7" s="2" t="inlineStr">
        <is>
          <t>Sell regulatory/other per trade</t>
        </is>
      </c>
      <c r="B7" s="2" t="n">
        <v>0</v>
      </c>
      <c r="C7" s="2" t="inlineStr">
        <is>
          <t>Enter actual contract-note amount.</t>
        </is>
      </c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inlineStr">
        <is>
          <t>Important</t>
        </is>
      </c>
      <c r="B10" s="2" t="inlineStr">
        <is>
          <t>Fees are editable assumptions; contract-note charges should replace zeros where applicable.</t>
        </is>
      </c>
      <c r="C1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Formula / Value</t>
        </is>
      </c>
    </row>
    <row r="2">
      <c r="A2" s="2" t="inlineStr">
        <is>
          <t>Total Shares</t>
        </is>
      </c>
      <c r="B2" s="2">
        <f>SUM('Trade Data'!D2:D32)</f>
        <v/>
      </c>
    </row>
    <row r="3">
      <c r="A3" s="2" t="inlineStr">
        <is>
          <t>Gross Purchase Value</t>
        </is>
      </c>
      <c r="B3" s="2">
        <f>SUM('Trade Data'!H2:H32)</f>
        <v/>
      </c>
    </row>
    <row r="4">
      <c r="A4" s="2" t="inlineStr">
        <is>
          <t>Buy Commission</t>
        </is>
      </c>
      <c r="B4" s="2">
        <f>SUM('Trade Data'!F2:F32)</f>
        <v/>
      </c>
    </row>
    <row r="5">
      <c r="A5" s="2" t="inlineStr">
        <is>
          <t>True Buy Cost</t>
        </is>
      </c>
      <c r="B5" s="2">
        <f>SUM('Trade Data'!J2:J32)</f>
        <v/>
      </c>
    </row>
    <row r="6">
      <c r="A6" s="2" t="inlineStr">
        <is>
          <t>Current Market Value</t>
        </is>
      </c>
      <c r="B6" s="2">
        <f>SUM('Trade Data'!K2:K32)</f>
        <v/>
      </c>
    </row>
    <row r="7">
      <c r="A7" s="2" t="inlineStr">
        <is>
          <t>Estimated Sell Commission</t>
        </is>
      </c>
      <c r="B7" s="2">
        <f>SUM('Trade Data'!L2:L32)</f>
        <v/>
      </c>
    </row>
    <row r="8">
      <c r="A8" s="2" t="inlineStr">
        <is>
          <t>Estimated Net Sale Proceeds</t>
        </is>
      </c>
      <c r="B8" s="2">
        <f>SUM('Trade Data'!N2:N32)</f>
        <v/>
      </c>
    </row>
    <row r="9">
      <c r="A9" s="2" t="inlineStr">
        <is>
          <t>Pre-CGT P/L</t>
        </is>
      </c>
      <c r="B9" s="2">
        <f>SUM('Trade Data'!O2:O32)</f>
        <v/>
      </c>
    </row>
    <row r="10">
      <c r="A10" s="2" t="inlineStr">
        <is>
          <t>Estimated CGT</t>
        </is>
      </c>
      <c r="B10" s="2">
        <f>SUM('Trade Data'!P2:P32)</f>
        <v/>
      </c>
    </row>
    <row r="11">
      <c r="A11" s="2" t="inlineStr">
        <is>
          <t>Final P/L</t>
        </is>
      </c>
      <c r="B11" s="2">
        <f>SUM('Trade Data'!Q2:Q32)</f>
        <v/>
      </c>
    </row>
    <row r="12">
      <c r="A12" s="2" t="inlineStr">
        <is>
          <t>Weighted Avg Buy Price</t>
        </is>
      </c>
      <c r="B12" s="2">
        <f>SUM('Trade Data'!H2:H32)/B2</f>
        <v/>
      </c>
    </row>
    <row r="13">
      <c r="A13" s="2" t="inlineStr">
        <is>
          <t>Cost/Share incl Buy Commission</t>
        </is>
      </c>
      <c r="B13" s="2">
        <f>B5/B2</f>
        <v/>
      </c>
    </row>
    <row r="14">
      <c r="A14" s="2" t="inlineStr">
        <is>
          <t>Current Price</t>
        </is>
      </c>
      <c r="B14" s="2" t="n">
        <v>102.5</v>
      </c>
    </row>
    <row r="15">
      <c r="A15" s="2" t="inlineStr">
        <is>
          <t>Portfolio Break-even incl current assumptions</t>
        </is>
      </c>
      <c r="B15" s="2">
        <f>SUM('Trade Data'!J2:J32)/B2+SUM('Trade Data'!L2:L32)/B2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2026-08-21T02:19:32Z</dcterms:created>
  <dcterms:modified xmlns:dcterms="http://purl.org/dc/terms/" xmlns:xsi="http://www.w3.org/2001/XMLSchema-instance" xsi:type="dcterms:W3CDTF">2026-08-21T02:19:32Z</dcterms:modified>
</cp:coreProperties>
</file>